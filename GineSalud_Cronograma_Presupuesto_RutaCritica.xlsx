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Cronograma" sheetId="2" state="visible" r:id="rId2"/>
    <sheet xmlns:r="http://schemas.openxmlformats.org/officeDocument/2006/relationships" name="Presupuesto" sheetId="3" state="visible" r:id="rId3"/>
    <sheet xmlns:r="http://schemas.openxmlformats.org/officeDocument/2006/relationships" name="Story Points" sheetId="4" state="visible" r:id="rId4"/>
    <sheet xmlns:r="http://schemas.openxmlformats.org/officeDocument/2006/relationships" name="Ruta Critica (CPM)" sheetId="5" state="visible" r:id="rId5"/>
    <sheet xmlns:r="http://schemas.openxmlformats.org/officeDocument/2006/relationships" name="Recursos" sheetId="6" state="visible" r:id="rId6"/>
    <sheet xmlns:r="http://schemas.openxmlformats.org/officeDocument/2006/relationships" name="Riesgos" sheetId="7" state="visible" r:id="rId7"/>
    <sheet xmlns:r="http://schemas.openxmlformats.org/officeDocument/2006/relationships" name="Metricas de exit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₡&quot;#,##0.00"/>
  </numFmts>
  <fonts count="6">
    <font>
      <name val="Calibri"/>
      <family val="2"/>
      <color theme="1"/>
      <sz val="11"/>
      <scheme val="minor"/>
    </font>
    <font>
      <b val="1"/>
      <color rgb="005B21B6"/>
      <sz val="16"/>
    </font>
    <font>
      <i val="1"/>
      <color rgb="006B7280"/>
      <sz val="11"/>
    </font>
    <font>
      <b val="1"/>
    </font>
    <font>
      <b val="1"/>
      <color rgb="005B21B6"/>
      <sz val="1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3" fillId="3" borderId="1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DCFCE7"/>
        </patternFill>
      </fill>
    </dxf>
    <dxf>
      <font>
        <b val="1"/>
        <color rgb="0016A34A"/>
      </font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  <col width="4" customWidth="1" min="3" max="3"/>
  </cols>
  <sheetData>
    <row r="2">
      <c r="B2" s="1" t="inlineStr">
        <is>
          <t>GineSalud — Cronograma, Presupuesto y Ruta Crítica</t>
        </is>
      </c>
    </row>
    <row r="3">
      <c r="B3" s="2" t="inlineStr">
        <is>
          <t>Proyecto Final — Análisis de Sistemas I · Tico Tech / GineSalud</t>
        </is>
      </c>
    </row>
    <row r="5">
      <c r="B5" s="3" t="inlineStr">
        <is>
          <t>Curso:</t>
        </is>
      </c>
    </row>
    <row r="6">
      <c r="B6" s="4" t="inlineStr">
        <is>
          <t>Análisis de Sistemas I — Universidad Politécnica Internacional</t>
        </is>
      </c>
    </row>
    <row r="8">
      <c r="B8" s="3" t="inlineStr">
        <is>
          <t>Profesor:</t>
        </is>
      </c>
    </row>
    <row r="9">
      <c r="B9" s="4" t="inlineStr">
        <is>
          <t>Ing. José Javier Mata Guerrero</t>
        </is>
      </c>
    </row>
    <row r="11">
      <c r="B11" s="3" t="inlineStr">
        <is>
          <t>Empresa consultora:</t>
        </is>
      </c>
    </row>
    <row r="12">
      <c r="B12" s="4" t="inlineStr">
        <is>
          <t>Tico Tech</t>
        </is>
      </c>
    </row>
    <row r="14">
      <c r="B14" s="3" t="inlineStr">
        <is>
          <t>Cliente:</t>
        </is>
      </c>
    </row>
    <row r="15">
      <c r="B15" s="4" t="inlineStr">
        <is>
          <t>Clínica ginecológica GineSalud</t>
        </is>
      </c>
    </row>
    <row r="17">
      <c r="B17" s="3" t="inlineStr">
        <is>
          <t>Equipo:</t>
        </is>
      </c>
    </row>
    <row r="18">
      <c r="B18" s="4" t="inlineStr">
        <is>
          <t>5 integrantes (4 consultores + Scrum Master / Líder de proyecto)</t>
        </is>
      </c>
    </row>
    <row r="20">
      <c r="B20" s="3" t="inlineStr">
        <is>
          <t>Fuente de los datos:</t>
        </is>
      </c>
    </row>
    <row r="21">
      <c r="B21" s="4" t="inlineStr">
        <is>
          <t>Proyecto_Analisis_Sistemas.tex (documento técnico completo del repositorio)</t>
        </is>
      </c>
    </row>
    <row r="23">
      <c r="B23" s="3" t="inlineStr">
        <is>
          <t>Contenido de este libro:</t>
        </is>
      </c>
    </row>
    <row r="24">
      <c r="B24" s="4" t="inlineStr">
        <is>
          <t>•  Cronograma — las 6 semanas del curso y qué se entregó en cada una.</t>
        </is>
      </c>
    </row>
    <row r="25">
      <c r="B25" s="4" t="inlineStr">
        <is>
          <t>•  Presupuesto — presupuesto original (Semana 1), ajustado (Semana 3) y licenciamiento referencial de BI.</t>
        </is>
      </c>
    </row>
    <row r="26">
      <c r="B26" s="4" t="inlineStr">
        <is>
          <t>•  Story Points — estimación de esfuerzo de las historias de usuario (Semana 1 y actualización Semana 4).</t>
        </is>
      </c>
    </row>
    <row r="27">
      <c r="B27" s="4" t="inlineStr">
        <is>
          <t>•  Ruta Crítica (CPM) — cálculo de la ruta crítica del proyecto con fechas de inicio/fin más tempranas y más tardías, y holgura por tarea.</t>
        </is>
      </c>
    </row>
    <row r="28">
      <c r="B28" s="4" t="inlineStr">
        <is>
          <t>•  Recursos — distribución de las 640 horas del proyecto entre los integrantes del equipo.</t>
        </is>
      </c>
    </row>
    <row r="29">
      <c r="B29" s="4" t="inlineStr">
        <is>
          <t>•  Riesgos — matriz de riesgos con probabilidad, impacto y puntaje de severidad.</t>
        </is>
      </c>
    </row>
    <row r="30">
      <c r="B30" s="4" t="inlineStr">
        <is>
          <t>•  Métricas de éxito — indicadores clave para evaluar el sistema una vez implementado.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30" customWidth="1" min="3" max="3"/>
  </cols>
  <sheetData>
    <row r="1">
      <c r="A1" s="5" t="inlineStr">
        <is>
          <t>Cronograma de contenido por semana</t>
        </is>
      </c>
    </row>
    <row r="3">
      <c r="A3" s="6" t="inlineStr">
        <is>
          <t>Semana</t>
        </is>
      </c>
      <c r="B3" s="6" t="inlineStr">
        <is>
          <t>Contenido exigido por el profesor</t>
        </is>
      </c>
      <c r="C3" s="6" t="inlineStr">
        <is>
          <t>Estado en el proyecto</t>
        </is>
      </c>
    </row>
    <row r="4" ht="42" customHeight="1">
      <c r="A4" s="7" t="inlineStr">
        <is>
          <t>Semana 1</t>
        </is>
      </c>
      <c r="B4" s="8" t="inlineStr">
        <is>
          <t>Negocio, SCRUM (roles/tablero/backlog), historias de usuario, presupuesto, story points, arquitectura, primeros UML</t>
        </is>
      </c>
      <c r="C4" s="8" t="inlineStr">
        <is>
          <t>Completo</t>
        </is>
      </c>
    </row>
    <row r="5" ht="42" customHeight="1">
      <c r="A5" s="7" t="inlineStr">
        <is>
          <t>Semana 2</t>
        </is>
      </c>
      <c r="B5" s="8" t="inlineStr">
        <is>
          <t>Requisitos funcionales/no funcionales, historias adicionales, caso de uso mejorado, roles y permisos, stack técnico, tablero SCRUM</t>
        </is>
      </c>
      <c r="C5" s="8" t="inlineStr">
        <is>
          <t>Completo</t>
        </is>
      </c>
    </row>
    <row r="6" ht="42" customHeight="1">
      <c r="A6" s="7" t="inlineStr">
        <is>
          <t>Semana 3</t>
        </is>
      </c>
      <c r="B6" s="8" t="inlineStr">
        <is>
          <t>Diagramas (actividad, clases, despliegue), refinamiento de arquitectura, factibilidad técnica/económica, herramientas concretas</t>
        </is>
      </c>
      <c r="C6" s="8" t="inlineStr">
        <is>
          <t>Completo — diagramas generados en TikZ</t>
        </is>
      </c>
    </row>
    <row r="7" ht="42" customHeight="1">
      <c r="A7" s="7" t="inlineStr">
        <is>
          <t>Semana 4</t>
        </is>
      </c>
      <c r="B7" s="8" t="inlineStr">
        <is>
          <t>Ruta crítica, estimación de tiempos/recursos, análisis de riesgos, métricas clave</t>
        </is>
      </c>
      <c r="C7" s="8" t="inlineStr">
        <is>
          <t>Completo</t>
        </is>
      </c>
    </row>
    <row r="8" ht="42" customHeight="1">
      <c r="A8" s="7" t="inlineStr">
        <is>
          <t>Semana 5</t>
        </is>
      </c>
      <c r="B8" s="8" t="inlineStr">
        <is>
          <t>Prototipo funcional, pruebas iniciales, análisis de rendimiento, mejoras de interfaz</t>
        </is>
      </c>
      <c r="C8" s="8" t="inlineStr">
        <is>
          <t>Completo — prototipo SQL y prototipo web funcional (PostgreSQL real)</t>
        </is>
      </c>
    </row>
    <row r="9" ht="42" customHeight="1">
      <c r="A9" s="7" t="inlineStr">
        <is>
          <t>Semana 6</t>
        </is>
      </c>
      <c r="B9" s="8" t="inlineStr">
        <is>
          <t>Entrega final (PDF), presentación oral, video resumen, defensa</t>
        </is>
      </c>
      <c r="C9" s="8" t="inlineStr">
        <is>
          <t>Completo — PDF y video en el repositorio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8" customWidth="1" min="3" max="3"/>
    <col width="20" customWidth="1" min="4" max="4"/>
  </cols>
  <sheetData>
    <row r="1">
      <c r="A1" s="5" t="inlineStr">
        <is>
          <t>Presupuesto original — Semana 1</t>
        </is>
      </c>
    </row>
    <row r="3">
      <c r="A3" s="6" t="inlineStr">
        <is>
          <t>Actividad</t>
        </is>
      </c>
      <c r="B3" s="6" t="inlineStr">
        <is>
          <t>Horas</t>
        </is>
      </c>
      <c r="C3" s="6" t="inlineStr">
        <is>
          <t>Costo por hora</t>
        </is>
      </c>
      <c r="D3" s="6" t="inlineStr">
        <is>
          <t>Subtotal</t>
        </is>
      </c>
    </row>
    <row r="4">
      <c r="A4" s="7" t="inlineStr">
        <is>
          <t>Análisis del negocio y requisitos</t>
        </is>
      </c>
      <c r="B4" s="7" t="n">
        <v>100</v>
      </c>
      <c r="C4" s="9" t="n">
        <v>12000</v>
      </c>
      <c r="D4" s="9">
        <f>B4*C4</f>
        <v/>
      </c>
    </row>
    <row r="5">
      <c r="A5" s="7" t="inlineStr">
        <is>
          <t>Diseño de la base de datos</t>
        </is>
      </c>
      <c r="B5" s="7" t="n">
        <v>140</v>
      </c>
      <c r="C5" s="9" t="n">
        <v>12000</v>
      </c>
      <c r="D5" s="9">
        <f>B5*C5</f>
        <v/>
      </c>
    </row>
    <row r="6">
      <c r="A6" s="7" t="inlineStr">
        <is>
          <t>Diseño de arquitectura</t>
        </is>
      </c>
      <c r="B6" s="7" t="n">
        <v>80</v>
      </c>
      <c r="C6" s="9" t="n">
        <v>12000</v>
      </c>
      <c r="D6" s="9">
        <f>B6*C6</f>
        <v/>
      </c>
    </row>
    <row r="7">
      <c r="A7" s="7" t="inlineStr">
        <is>
          <t>Diagramas UML</t>
        </is>
      </c>
      <c r="B7" s="7" t="n">
        <v>70</v>
      </c>
      <c r="C7" s="9" t="n">
        <v>12000</v>
      </c>
      <c r="D7" s="9">
        <f>B7*C7</f>
        <v/>
      </c>
    </row>
    <row r="8">
      <c r="A8" s="7" t="inlineStr">
        <is>
          <t>Planificación SCRUM y documentación</t>
        </is>
      </c>
      <c r="B8" s="7" t="n">
        <v>110</v>
      </c>
      <c r="C8" s="9" t="n">
        <v>12000</v>
      </c>
      <c r="D8" s="9">
        <f>B8*C8</f>
        <v/>
      </c>
    </row>
    <row r="9">
      <c r="A9" s="7" t="inlineStr">
        <is>
          <t>Diseño integración Tableau</t>
        </is>
      </c>
      <c r="B9" s="7" t="n">
        <v>100</v>
      </c>
      <c r="C9" s="9" t="n">
        <v>12000</v>
      </c>
      <c r="D9" s="9">
        <f>B9*C9</f>
        <v/>
      </c>
    </row>
    <row r="10">
      <c r="A10" s="10" t="inlineStr">
        <is>
          <t>TOTAL</t>
        </is>
      </c>
      <c r="B10" s="10">
        <f>SUM(B4:B9)</f>
        <v/>
      </c>
      <c r="C10" s="11" t="n"/>
      <c r="D10" s="12">
        <f>SUM(D4:D9)</f>
        <v/>
      </c>
    </row>
    <row r="13">
      <c r="A13" s="5" t="inlineStr">
        <is>
          <t>Presupuesto ajustado — Semana 3 (incorpora integración Power BI / Power Apps)</t>
        </is>
      </c>
    </row>
    <row r="15">
      <c r="A15" s="6" t="inlineStr">
        <is>
          <t>Actividad</t>
        </is>
      </c>
      <c r="B15" s="6" t="inlineStr">
        <is>
          <t>Horas</t>
        </is>
      </c>
      <c r="C15" s="6" t="inlineStr">
        <is>
          <t>Costo por hora</t>
        </is>
      </c>
      <c r="D15" s="6" t="inlineStr">
        <is>
          <t>Subtotal</t>
        </is>
      </c>
    </row>
    <row r="16">
      <c r="A16" s="7" t="inlineStr">
        <is>
          <t>Análisis del negocio y requisitos</t>
        </is>
      </c>
      <c r="B16" s="7" t="n">
        <v>100</v>
      </c>
      <c r="C16" s="9" t="n">
        <v>12000</v>
      </c>
      <c r="D16" s="9">
        <f>B16*C16</f>
        <v/>
      </c>
    </row>
    <row r="17">
      <c r="A17" s="7" t="inlineStr">
        <is>
          <t>Diseño de la base de datos</t>
        </is>
      </c>
      <c r="B17" s="7" t="n">
        <v>140</v>
      </c>
      <c r="C17" s="9" t="n">
        <v>12000</v>
      </c>
      <c r="D17" s="9">
        <f>B17*C17</f>
        <v/>
      </c>
    </row>
    <row r="18">
      <c r="A18" s="7" t="inlineStr">
        <is>
          <t>Diseño de arquitectura</t>
        </is>
      </c>
      <c r="B18" s="7" t="n">
        <v>80</v>
      </c>
      <c r="C18" s="9" t="n">
        <v>12000</v>
      </c>
      <c r="D18" s="9">
        <f>B18*C18</f>
        <v/>
      </c>
    </row>
    <row r="19">
      <c r="A19" s="7" t="inlineStr">
        <is>
          <t>Diagramas UML</t>
        </is>
      </c>
      <c r="B19" s="7" t="n">
        <v>70</v>
      </c>
      <c r="C19" s="9" t="n">
        <v>12000</v>
      </c>
      <c r="D19" s="9">
        <f>B19*C19</f>
        <v/>
      </c>
    </row>
    <row r="20">
      <c r="A20" s="7" t="inlineStr">
        <is>
          <t>Planificación SCRUM y documentación</t>
        </is>
      </c>
      <c r="B20" s="7" t="n">
        <v>110</v>
      </c>
      <c r="C20" s="9" t="n">
        <v>12000</v>
      </c>
      <c r="D20" s="9">
        <f>B20*C20</f>
        <v/>
      </c>
    </row>
    <row r="21">
      <c r="A21" s="7" t="inlineStr">
        <is>
          <t>Diseño integración Tableau</t>
        </is>
      </c>
      <c r="B21" s="7" t="n">
        <v>100</v>
      </c>
      <c r="C21" s="9" t="n">
        <v>12000</v>
      </c>
      <c r="D21" s="9">
        <f>B21*C21</f>
        <v/>
      </c>
    </row>
    <row r="22">
      <c r="A22" s="7" t="inlineStr">
        <is>
          <t>Diseño integración Power BI / Power Apps</t>
        </is>
      </c>
      <c r="B22" s="7" t="n">
        <v>40</v>
      </c>
      <c r="C22" s="9" t="n">
        <v>12000</v>
      </c>
      <c r="D22" s="9">
        <f>B22*C22</f>
        <v/>
      </c>
    </row>
    <row r="23">
      <c r="A23" s="10" t="inlineStr">
        <is>
          <t>TOTAL</t>
        </is>
      </c>
      <c r="B23" s="10">
        <f>SUM(B16:B22)</f>
        <v/>
      </c>
      <c r="C23" s="11" t="n"/>
      <c r="D23" s="12">
        <f>SUM(D16:D22)</f>
        <v/>
      </c>
    </row>
    <row r="26">
      <c r="A26" s="5" t="inlineStr">
        <is>
          <t>Costos referenciales de licenciamiento de BI (recurrentes, a cargo de GineSalud)</t>
        </is>
      </c>
    </row>
    <row r="28">
      <c r="A28" s="6" t="inlineStr">
        <is>
          <t>Herramienta</t>
        </is>
      </c>
      <c r="B28" s="6" t="inlineStr">
        <is>
          <t>Licencia</t>
        </is>
      </c>
      <c r="C28" s="6" t="inlineStr">
        <is>
          <t>Costo referencial (USD)</t>
        </is>
      </c>
    </row>
    <row r="29">
      <c r="A29" s="7" t="inlineStr">
        <is>
          <t>Tableau</t>
        </is>
      </c>
      <c r="B29" s="7" t="inlineStr">
        <is>
          <t>Creator (por usuario)</t>
        </is>
      </c>
      <c r="C29" s="7" t="inlineStr">
        <is>
          <t>~$75 USD/usuario/mes</t>
        </is>
      </c>
    </row>
    <row r="30">
      <c r="A30" s="7" t="inlineStr">
        <is>
          <t>Tableau</t>
        </is>
      </c>
      <c r="B30" s="7" t="inlineStr">
        <is>
          <t>Viewer (por usuario)</t>
        </is>
      </c>
      <c r="C30" s="7" t="inlineStr">
        <is>
          <t>~$15 USD/usuario/mes</t>
        </is>
      </c>
    </row>
    <row r="31">
      <c r="A31" s="7" t="inlineStr">
        <is>
          <t>Power BI</t>
        </is>
      </c>
      <c r="B31" s="7" t="inlineStr">
        <is>
          <t>Pro (por usuario)</t>
        </is>
      </c>
      <c r="C31" s="7" t="inlineStr">
        <is>
          <t>~$10 USD/usuario/mes</t>
        </is>
      </c>
    </row>
    <row r="32">
      <c r="A32" s="7" t="inlineStr">
        <is>
          <t>Power Apps</t>
        </is>
      </c>
      <c r="B32" s="7" t="inlineStr">
        <is>
          <t>Plan por usuario</t>
        </is>
      </c>
      <c r="C32" s="7" t="inlineStr">
        <is>
          <t>~$5 USD/usuario/mes</t>
        </is>
      </c>
    </row>
    <row r="34">
      <c r="A34" s="2" t="inlineStr">
        <is>
          <t>Nota: valores referenciales de mercado; deben confirmarse con los sitios oficiales de cada proveedor.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6" customWidth="1" min="3" max="3"/>
  </cols>
  <sheetData>
    <row r="1">
      <c r="A1" s="5" t="inlineStr">
        <is>
          <t>Puntos de Historia (Semana 1, actualizado en Semana 4)</t>
        </is>
      </c>
    </row>
    <row r="3">
      <c r="A3" s="6" t="inlineStr">
        <is>
          <t>Historia de Usuario</t>
        </is>
      </c>
      <c r="B3" s="6" t="inlineStr">
        <is>
          <t>Esfuerzo estimado</t>
        </is>
      </c>
      <c r="C3" s="6" t="inlineStr">
        <is>
          <t>Puntos de Historia</t>
        </is>
      </c>
    </row>
    <row r="4">
      <c r="A4" s="8" t="inlineStr">
        <is>
          <t>HU1: Registrar nuevas pacientes en el sistema</t>
        </is>
      </c>
      <c r="B4" s="7" t="inlineStr">
        <is>
          <t>Medio</t>
        </is>
      </c>
      <c r="C4" s="7" t="n">
        <v>5</v>
      </c>
    </row>
    <row r="5">
      <c r="A5" s="8" t="inlineStr">
        <is>
          <t>HU2: Programar, modificar y cancelar citas médicas</t>
        </is>
      </c>
      <c r="B5" s="7" t="inlineStr">
        <is>
          <t>Alto</t>
        </is>
      </c>
      <c r="C5" s="7" t="n">
        <v>8</v>
      </c>
    </row>
    <row r="6">
      <c r="A6" s="8" t="inlineStr">
        <is>
          <t>HU3: Consultar expediente clínico de una paciente</t>
        </is>
      </c>
      <c r="B6" s="7" t="inlineStr">
        <is>
          <t>Medio</t>
        </is>
      </c>
      <c r="C6" s="7" t="n">
        <v>5</v>
      </c>
    </row>
    <row r="7">
      <c r="A7" s="8" t="inlineStr">
        <is>
          <t>HU4: Registrar diagnósticos, tratamientos y observaciones médicas</t>
        </is>
      </c>
      <c r="B7" s="7" t="inlineStr">
        <is>
          <t>Alto</t>
        </is>
      </c>
      <c r="C7" s="7" t="n">
        <v>8</v>
      </c>
    </row>
    <row r="8">
      <c r="A8" s="8" t="inlineStr">
        <is>
          <t>HU5: Administrar usuarios y permisos del sistema</t>
        </is>
      </c>
      <c r="B8" s="7" t="inlineStr">
        <is>
          <t>Medio</t>
        </is>
      </c>
      <c r="C8" s="7" t="n">
        <v>5</v>
      </c>
    </row>
    <row r="9">
      <c r="A9" s="8" t="inlineStr">
        <is>
          <t>HU6: Visualizar reportes e indicadores mediante Tableau</t>
        </is>
      </c>
      <c r="B9" s="7" t="inlineStr">
        <is>
          <t>Alto</t>
        </is>
      </c>
      <c r="C9" s="7" t="n">
        <v>8</v>
      </c>
    </row>
    <row r="10">
      <c r="A10" s="8" t="inlineStr">
        <is>
          <t>HU7: Recibir recordatorios de citas</t>
        </is>
      </c>
      <c r="B10" s="7" t="inlineStr">
        <is>
          <t>Bajo</t>
        </is>
      </c>
      <c r="C10" s="7" t="n">
        <v>3</v>
      </c>
    </row>
    <row r="11">
      <c r="A11" s="8" t="inlineStr">
        <is>
          <t>HU8: Consultar estadísticas sobre citas, pacientes y especialidades</t>
        </is>
      </c>
      <c r="B11" s="7" t="inlineStr">
        <is>
          <t>Medio</t>
        </is>
      </c>
      <c r="C11" s="7" t="n">
        <v>5</v>
      </c>
    </row>
    <row r="12">
      <c r="A12" s="8" t="inlineStr">
        <is>
          <t>HU13: Registrar y actualizar catálogos administrativos vía Power BI/Power Apps (agregada en Semana 3)</t>
        </is>
      </c>
      <c r="B12" s="7" t="inlineStr">
        <is>
          <t>Medio</t>
        </is>
      </c>
      <c r="C12" s="7" t="n">
        <v>5</v>
      </c>
    </row>
    <row r="13">
      <c r="A13" s="10" t="inlineStr">
        <is>
          <t>TOTAL</t>
        </is>
      </c>
      <c r="B13" s="11" t="n"/>
      <c r="C13" s="10">
        <f>SUM(C4:C12)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</cols>
  <sheetData>
    <row r="1">
      <c r="A1" s="5" t="inlineStr">
        <is>
          <t>Ruta crítica del proyecto — Método CPM (Semana 4)</t>
        </is>
      </c>
    </row>
    <row r="2" ht="28" customHeight="1">
      <c r="A2" s="13" t="inlineStr">
        <is>
          <t>Jornada de 8 horas/día. ES/EF = inicio/fin más temprano; LS/LF = inicio/fin más tardío (calculados con fórmulas: cambiar Horas o Duración recalcula toda la tabla).</t>
        </is>
      </c>
    </row>
    <row r="4">
      <c r="A4" s="6" t="inlineStr">
        <is>
          <t>Tarea</t>
        </is>
      </c>
      <c r="B4" s="6" t="inlineStr">
        <is>
          <t>Horas</t>
        </is>
      </c>
      <c r="C4" s="6" t="inlineStr">
        <is>
          <t>Duración (días)</t>
        </is>
      </c>
      <c r="D4" s="6" t="inlineStr">
        <is>
          <t>Predecesora</t>
        </is>
      </c>
      <c r="E4" s="6" t="inlineStr">
        <is>
          <t>ES</t>
        </is>
      </c>
      <c r="F4" s="6" t="inlineStr">
        <is>
          <t>EF</t>
        </is>
      </c>
      <c r="G4" s="6" t="inlineStr">
        <is>
          <t>LS</t>
        </is>
      </c>
      <c r="H4" s="6" t="inlineStr">
        <is>
          <t>LF</t>
        </is>
      </c>
      <c r="I4" s="6" t="inlineStr">
        <is>
          <t>Holgura</t>
        </is>
      </c>
      <c r="J4" s="6" t="inlineStr">
        <is>
          <t>¿Ruta crítica?</t>
        </is>
      </c>
    </row>
    <row r="5">
      <c r="A5" s="8" t="inlineStr">
        <is>
          <t>T1. Análisis del negocio y requisitos</t>
        </is>
      </c>
      <c r="B5" s="7" t="n">
        <v>100</v>
      </c>
      <c r="C5" s="7" t="n">
        <v>7</v>
      </c>
      <c r="D5" s="7" t="inlineStr">
        <is>
          <t>---</t>
        </is>
      </c>
      <c r="E5" s="14" t="n">
        <v>0</v>
      </c>
      <c r="F5" s="14">
        <f>E5+C5</f>
        <v/>
      </c>
      <c r="G5" s="14">
        <f>H5-C5</f>
        <v/>
      </c>
      <c r="H5" s="14">
        <f>MIN(G6,G7)</f>
        <v/>
      </c>
      <c r="I5" s="14">
        <f>G5-E5</f>
        <v/>
      </c>
      <c r="J5" s="14">
        <f>IF(I5=0,"Sí","No")</f>
        <v/>
      </c>
    </row>
    <row r="6">
      <c r="A6" s="8" t="inlineStr">
        <is>
          <t>T2. Diseño de la base de datos</t>
        </is>
      </c>
      <c r="B6" s="7" t="n">
        <v>140</v>
      </c>
      <c r="C6" s="7" t="n">
        <v>9</v>
      </c>
      <c r="D6" s="7" t="inlineStr">
        <is>
          <t>T1</t>
        </is>
      </c>
      <c r="E6" s="14">
        <f>F5</f>
        <v/>
      </c>
      <c r="F6" s="14">
        <f>E6+C6</f>
        <v/>
      </c>
      <c r="G6" s="14">
        <f>H6-C6</f>
        <v/>
      </c>
      <c r="H6" s="14">
        <f>G8</f>
        <v/>
      </c>
      <c r="I6" s="14">
        <f>G6-E6</f>
        <v/>
      </c>
      <c r="J6" s="14">
        <f>IF(I6=0,"Sí","No")</f>
        <v/>
      </c>
    </row>
    <row r="7">
      <c r="A7" s="8" t="inlineStr">
        <is>
          <t>T3. Diseño de arquitectura</t>
        </is>
      </c>
      <c r="B7" s="7" t="n">
        <v>80</v>
      </c>
      <c r="C7" s="7" t="n">
        <v>10</v>
      </c>
      <c r="D7" s="7" t="inlineStr">
        <is>
          <t>T1</t>
        </is>
      </c>
      <c r="E7" s="14">
        <f>F5</f>
        <v/>
      </c>
      <c r="F7" s="14">
        <f>E7+C7</f>
        <v/>
      </c>
      <c r="G7" s="14">
        <f>H7-C7</f>
        <v/>
      </c>
      <c r="H7" s="14">
        <f>G8</f>
        <v/>
      </c>
      <c r="I7" s="14">
        <f>G7-E7</f>
        <v/>
      </c>
      <c r="J7" s="14">
        <f>IF(I7=0,"Sí","No")</f>
        <v/>
      </c>
    </row>
    <row r="8">
      <c r="A8" s="8" t="inlineStr">
        <is>
          <t>T4. Diagramas UML</t>
        </is>
      </c>
      <c r="B8" s="7" t="n">
        <v>70</v>
      </c>
      <c r="C8" s="7" t="n">
        <v>5</v>
      </c>
      <c r="D8" s="7" t="inlineStr">
        <is>
          <t>T2, T3</t>
        </is>
      </c>
      <c r="E8" s="14">
        <f>MAX(F6,F7)</f>
        <v/>
      </c>
      <c r="F8" s="14">
        <f>E8+C8</f>
        <v/>
      </c>
      <c r="G8" s="14">
        <f>H8-C8</f>
        <v/>
      </c>
      <c r="H8" s="14">
        <f>MIN(G10,G11)</f>
        <v/>
      </c>
      <c r="I8" s="14">
        <f>G8-E8</f>
        <v/>
      </c>
      <c r="J8" s="14">
        <f>IF(I8=0,"Sí","No")</f>
        <v/>
      </c>
    </row>
    <row r="9">
      <c r="A9" s="8" t="inlineStr">
        <is>
          <t>T5. Planificación SCRUM y documentación (transversal)</t>
        </is>
      </c>
      <c r="B9" s="7" t="n">
        <v>110</v>
      </c>
      <c r="C9" s="7" t="n">
        <v>14</v>
      </c>
      <c r="D9" s="7" t="inlineStr">
        <is>
          <t>---</t>
        </is>
      </c>
      <c r="E9" s="14" t="n">
        <v>0</v>
      </c>
      <c r="F9" s="14">
        <f>E9+C9</f>
        <v/>
      </c>
      <c r="G9" s="14">
        <f>H9-C9</f>
        <v/>
      </c>
      <c r="H9" s="14" t="inlineStr">
        <is>
          <t>$B$13</t>
        </is>
      </c>
      <c r="I9" s="14">
        <f>G9-E9</f>
        <v/>
      </c>
      <c r="J9" s="14">
        <f>IF(I9=0,"Sí","No")</f>
        <v/>
      </c>
    </row>
    <row r="10">
      <c r="A10" s="8" t="inlineStr">
        <is>
          <t>T6. Diseño integración Tableau</t>
        </is>
      </c>
      <c r="B10" s="7" t="n">
        <v>100</v>
      </c>
      <c r="C10" s="7" t="n">
        <v>13</v>
      </c>
      <c r="D10" s="7" t="inlineStr">
        <is>
          <t>T4</t>
        </is>
      </c>
      <c r="E10" s="14">
        <f>F8</f>
        <v/>
      </c>
      <c r="F10" s="14">
        <f>E10+C10</f>
        <v/>
      </c>
      <c r="G10" s="14">
        <f>H10-C10</f>
        <v/>
      </c>
      <c r="H10" s="14" t="inlineStr">
        <is>
          <t>$B$13</t>
        </is>
      </c>
      <c r="I10" s="14">
        <f>G10-E10</f>
        <v/>
      </c>
      <c r="J10" s="14">
        <f>IF(I10=0,"Sí","No")</f>
        <v/>
      </c>
    </row>
    <row r="11">
      <c r="A11" s="8" t="inlineStr">
        <is>
          <t>T7. Diseño integración Power BI / Power Apps</t>
        </is>
      </c>
      <c r="B11" s="7" t="n">
        <v>40</v>
      </c>
      <c r="C11" s="7" t="n">
        <v>5</v>
      </c>
      <c r="D11" s="7" t="inlineStr">
        <is>
          <t>T4</t>
        </is>
      </c>
      <c r="E11" s="14">
        <f>F8</f>
        <v/>
      </c>
      <c r="F11" s="14">
        <f>E11+C11</f>
        <v/>
      </c>
      <c r="G11" s="14">
        <f>H11-C11</f>
        <v/>
      </c>
      <c r="H11" s="14" t="inlineStr">
        <is>
          <t>$B$13</t>
        </is>
      </c>
      <c r="I11" s="14">
        <f>G11-E11</f>
        <v/>
      </c>
      <c r="J11" s="14">
        <f>IF(I11=0,"Sí","No")</f>
        <v/>
      </c>
    </row>
    <row r="13">
      <c r="A13" s="10" t="inlineStr">
        <is>
          <t>Duración total del proyecto (días hábiles)</t>
        </is>
      </c>
      <c r="B13" s="10">
        <f>MAX(F5:F11)</f>
        <v/>
      </c>
    </row>
    <row r="15" ht="42" customHeight="1">
      <c r="A15" s="13" t="inlineStr">
        <is>
          <t>Ruta crítica: T1 → T3 → T4 → T6 (35 días hábiles, ≈7 semanas de trabajo efectivo). Estas tareas no tienen holgura: cualquier atraso en ellas retrasa el proyecto completo. T2 y T7 tienen holgura frente a sus rutas paralelas (T3 y T6). T5 es transversal y no condiciona la ruta crítica.</t>
        </is>
      </c>
    </row>
  </sheetData>
  <mergeCells count="2">
    <mergeCell ref="A15:J15"/>
    <mergeCell ref="A2:J2"/>
  </mergeCells>
  <conditionalFormatting sqref="A5:J11">
    <cfRule type="cellIs" priority="1" operator="equal" dxfId="0">
      <formula>"Sí"</formula>
    </cfRule>
  </conditionalFormatting>
  <conditionalFormatting sqref="J5:J11">
    <cfRule type="cellIs" priority="2" operator="equal" dxfId="1">
      <formula>"Sí"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12" customWidth="1" min="3" max="3"/>
  </cols>
  <sheetData>
    <row r="1">
      <c r="A1" s="5" t="inlineStr">
        <is>
          <t>Distribución de las 640 horas del proyecto por integrante (Semana 4)</t>
        </is>
      </c>
    </row>
    <row r="3">
      <c r="A3" s="6" t="inlineStr">
        <is>
          <t>Integrante</t>
        </is>
      </c>
      <c r="B3" s="6" t="inlineStr">
        <is>
          <t>Actividades asignadas</t>
        </is>
      </c>
      <c r="C3" s="6" t="inlineStr">
        <is>
          <t>Horas</t>
        </is>
      </c>
    </row>
    <row r="4">
      <c r="A4" s="7" t="inlineStr">
        <is>
          <t>Consultor 1 — Analista de negocio</t>
        </is>
      </c>
      <c r="B4" s="8" t="inlineStr">
        <is>
          <t>Análisis del negocio y requisitos</t>
        </is>
      </c>
      <c r="C4" s="7" t="n">
        <v>100</v>
      </c>
    </row>
    <row r="5">
      <c r="A5" s="7" t="inlineStr">
        <is>
          <t>Consultor 2 — Diseñador de datos</t>
        </is>
      </c>
      <c r="B5" s="8" t="inlineStr">
        <is>
          <t>Diseño de la base de datos</t>
        </is>
      </c>
      <c r="C5" s="7" t="n">
        <v>140</v>
      </c>
    </row>
    <row r="6">
      <c r="A6" s="7" t="inlineStr">
        <is>
          <t>Consultor 3 — Arquitecto de software</t>
        </is>
      </c>
      <c r="B6" s="8" t="inlineStr">
        <is>
          <t>Diseño de arquitectura y Diagramas UML</t>
        </is>
      </c>
      <c r="C6" s="7" t="n">
        <v>150</v>
      </c>
    </row>
    <row r="7">
      <c r="A7" s="7" t="inlineStr">
        <is>
          <t>Consultor 4 — Especialista en BI</t>
        </is>
      </c>
      <c r="B7" s="8" t="inlineStr">
        <is>
          <t>Integración con Tableau y con Power BI/Power Apps</t>
        </is>
      </c>
      <c r="C7" s="7" t="n">
        <v>140</v>
      </c>
    </row>
    <row r="8">
      <c r="A8" s="7" t="inlineStr">
        <is>
          <t>Scrum Master / Líder de Proyecto</t>
        </is>
      </c>
      <c r="B8" s="8" t="inlineStr">
        <is>
          <t>Planificación SCRUM y documentación</t>
        </is>
      </c>
      <c r="C8" s="7" t="n">
        <v>110</v>
      </c>
    </row>
    <row r="9">
      <c r="A9" s="10" t="inlineStr">
        <is>
          <t>TOTAL</t>
        </is>
      </c>
      <c r="B9" s="11" t="n"/>
      <c r="C9" s="10">
        <f>SUM(C4:C8)</f>
        <v/>
      </c>
    </row>
    <row r="11">
      <c r="A11" s="13" t="inlineStr">
        <is>
          <t>Nota: el Product Owner es un recurso externo de GineSalud y no forma parte de esta distribución de horas.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0" customWidth="1" min="4" max="4"/>
    <col width="42" customWidth="1" min="5" max="5"/>
    <col width="42" customWidth="1" min="6" max="6"/>
  </cols>
  <sheetData>
    <row r="1">
      <c r="A1" s="5" t="inlineStr">
        <is>
          <t>Matriz de riesgos del proyecto (Semana 4)</t>
        </is>
      </c>
    </row>
    <row r="3">
      <c r="A3" s="6" t="inlineStr">
        <is>
          <t>Riesgo</t>
        </is>
      </c>
      <c r="B3" s="6" t="inlineStr">
        <is>
          <t>Probabilidad</t>
        </is>
      </c>
      <c r="C3" s="6" t="inlineStr">
        <is>
          <t>Impacto</t>
        </is>
      </c>
      <c r="D3" s="6" t="inlineStr">
        <is>
          <t>Severidad</t>
        </is>
      </c>
      <c r="E3" s="6" t="inlineStr">
        <is>
          <t>Mitigación</t>
        </is>
      </c>
      <c r="F3" s="6" t="inlineStr">
        <is>
          <t>Plan de contingencia</t>
        </is>
      </c>
    </row>
    <row r="4" ht="48" customHeight="1">
      <c r="A4" s="8" t="inlineStr">
        <is>
          <t>Acceso no autorizado a datos clínicos sensibles de las pacientes</t>
        </is>
      </c>
      <c r="B4" s="7" t="inlineStr">
        <is>
          <t>Media</t>
        </is>
      </c>
      <c r="C4" s="7" t="inlineStr">
        <is>
          <t>Alto</t>
        </is>
      </c>
      <c r="D4" s="7">
        <f>CHOOSE(MATCH(B4,{"Baja","Media","Alta"},0),1,2,3)*CHOOSE(MATCH(C4,{"Bajo","Medio","Alto"},0),1,2,3)</f>
        <v/>
      </c>
      <c r="E4" s="8" t="inlineStr">
        <is>
          <t>Controles de acceso por rol, cifrado de datos y auditorías periódicas</t>
        </is>
      </c>
      <c r="F4" s="8" t="inlineStr">
        <is>
          <t>Plan de respuesta a incidentes y notificación conforme a la Ley 8968 (Protección de Datos Personales)</t>
        </is>
      </c>
    </row>
    <row r="5" ht="48" customHeight="1">
      <c r="A5" s="8" t="inlineStr">
        <is>
          <t>Indisponibilidad del sistema durante el horario de atención de la clínica</t>
        </is>
      </c>
      <c r="B5" s="7" t="inlineStr">
        <is>
          <t>Baja</t>
        </is>
      </c>
      <c r="C5" s="7" t="inlineStr">
        <is>
          <t>Alto</t>
        </is>
      </c>
      <c r="D5" s="7">
        <f>CHOOSE(MATCH(B5,{"Baja","Media","Alta"},0),1,2,3)*CHOOSE(MATCH(C5,{"Bajo","Medio","Alto"},0),1,2,3)</f>
        <v/>
      </c>
      <c r="E5" s="8" t="inlineStr">
        <is>
          <t>Monitoreo del servidor, respaldos automáticos y entorno de pruebas separado del de producción</t>
        </is>
      </c>
      <c r="F5" s="8" t="inlineStr">
        <is>
          <t>Procedimiento manual temporal de registro de citas y pacientes mientras se restablece el servicio</t>
        </is>
      </c>
    </row>
    <row r="6" ht="48" customHeight="1">
      <c r="A6" s="8" t="inlineStr">
        <is>
          <t>Retrasos en la integración con Tableau y Power BI/Power Apps por curva de aprendizaje</t>
        </is>
      </c>
      <c r="B6" s="7" t="inlineStr">
        <is>
          <t>Media</t>
        </is>
      </c>
      <c r="C6" s="7" t="inlineStr">
        <is>
          <t>Medio</t>
        </is>
      </c>
      <c r="D6" s="7">
        <f>CHOOSE(MATCH(B6,{"Baja","Media","Alta"},0),1,2,3)*CHOOSE(MATCH(C6,{"Bajo","Medio","Alto"},0),1,2,3)</f>
        <v/>
      </c>
      <c r="E6" s="8" t="inlineStr">
        <is>
          <t>Capacitación anticipada del Consultor 4 en ambas herramientas</t>
        </is>
      </c>
      <c r="F6" s="8" t="inlineStr">
        <is>
          <t>Reasignación temporal de horas de otros integrantes hacia la tarea de integración</t>
        </is>
      </c>
    </row>
    <row r="7" ht="48" customHeight="1">
      <c r="A7" s="8" t="inlineStr">
        <is>
          <t>Inconsistencia o duplicidad de datos entre PostgreSQL y los formularios de Power Apps</t>
        </is>
      </c>
      <c r="B7" s="7" t="inlineStr">
        <is>
          <t>Baja</t>
        </is>
      </c>
      <c r="C7" s="7" t="inlineStr">
        <is>
          <t>Medio</t>
        </is>
      </c>
      <c r="D7" s="7">
        <f>CHOOSE(MATCH(B7,{"Baja","Media","Alta"},0),1,2,3)*CHOOSE(MATCH(C7,{"Bajo","Medio","Alto"},0),1,2,3)</f>
        <v/>
      </c>
      <c r="E7" s="8" t="inlineStr">
        <is>
          <t>Validaciones de datos y transacciones controladas en la capa de lógica de negocio</t>
        </is>
      </c>
      <c r="F7" s="8" t="inlineStr">
        <is>
          <t>Rutinas periódicas de limpieza y reconciliación de datos</t>
        </is>
      </c>
    </row>
    <row r="8" ht="48" customHeight="1">
      <c r="A8" s="8" t="inlineStr">
        <is>
          <t>Cambios de alcance (scope creep) solicitados por el Product Owner de GineSalud</t>
        </is>
      </c>
      <c r="B8" s="7" t="inlineStr">
        <is>
          <t>Media</t>
        </is>
      </c>
      <c r="C8" s="7" t="inlineStr">
        <is>
          <t>Medio</t>
        </is>
      </c>
      <c r="D8" s="7">
        <f>CHOOSE(MATCH(B8,{"Baja","Media","Alta"},0),1,2,3)*CHOOSE(MATCH(C8,{"Bajo","Medio","Alto"},0),1,2,3)</f>
        <v/>
      </c>
      <c r="E8" s="8" t="inlineStr">
        <is>
          <t>Gestión estricta del Product Backlog durante el Sprint Planning</t>
        </is>
      </c>
      <c r="F8" s="8" t="inlineStr">
        <is>
          <t>Evaluación de impacto en tiempo/presupuesto mediante una solicitud formal de cambio</t>
        </is>
      </c>
    </row>
    <row r="9" ht="48" customHeight="1">
      <c r="A9" s="8" t="inlineStr">
        <is>
          <t>Rotación o ausencia de algún integrante del equipo de Tico Tech</t>
        </is>
      </c>
      <c r="B9" s="7" t="inlineStr">
        <is>
          <t>Baja</t>
        </is>
      </c>
      <c r="C9" s="7" t="inlineStr">
        <is>
          <t>Alto</t>
        </is>
      </c>
      <c r="D9" s="7">
        <f>CHOOSE(MATCH(B9,{"Baja","Media","Alta"},0),1,2,3)*CHOOSE(MATCH(C9,{"Bajo","Medio","Alto"},0),1,2,3)</f>
        <v/>
      </c>
      <c r="E9" s="8" t="inlineStr">
        <is>
          <t>Documentación exhaustiva y traspaso de conocimiento entre consultores</t>
        </is>
      </c>
      <c r="F9" s="8" t="inlineStr">
        <is>
          <t>Incorporación de un consultor de respaldo previamente identificado</t>
        </is>
      </c>
    </row>
    <row r="11">
      <c r="A11" s="13" t="inlineStr">
        <is>
          <t>Severidad = Probabilidad (Baja=1, Media=2, Alta=3) × Impacto (Bajo=1, Medio=2, Alto=3). Mayor puntaje = mayor prioridad de atención.</t>
        </is>
      </c>
    </row>
  </sheetData>
  <mergeCells count="1">
    <mergeCell ref="A11:F11"/>
  </mergeCells>
  <conditionalFormatting sqref="D4:D9">
    <cfRule type="cellIs" priority="1" operator="greaterThanOrEqual" dxfId="2">
      <formula>6</formula>
    </cfRule>
    <cfRule type="cellIs" priority="2" operator="between" dxfId="3">
      <formula>3</formula>
      <formula>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  <col width="26" customWidth="1" min="3" max="3"/>
  </cols>
  <sheetData>
    <row r="1">
      <c r="A1" s="5" t="inlineStr">
        <is>
          <t>Métricas clave de éxito del sistema (Semana 4)</t>
        </is>
      </c>
    </row>
    <row r="3">
      <c r="A3" s="6" t="inlineStr">
        <is>
          <t>Métrica</t>
        </is>
      </c>
      <c r="B3" s="6" t="inlineStr">
        <is>
          <t>Descripción</t>
        </is>
      </c>
      <c r="C3" s="6" t="inlineStr">
        <is>
          <t>Meta objetivo</t>
        </is>
      </c>
    </row>
    <row r="4" ht="34" customHeight="1">
      <c r="A4" s="8" t="inlineStr">
        <is>
          <t>Tiempo promedio de registro de una cita</t>
        </is>
      </c>
      <c r="B4" s="8" t="inlineStr">
        <is>
          <t>Tiempo que toma al recepcionista registrar una nueva cita en el sistema</t>
        </is>
      </c>
      <c r="C4" s="8" t="inlineStr">
        <is>
          <t>Menor a 2 minutos</t>
        </is>
      </c>
    </row>
    <row r="5" ht="34" customHeight="1">
      <c r="A5" s="8" t="inlineStr">
        <is>
          <t>Porcentaje de citas sin conflicto de horario</t>
        </is>
      </c>
      <c r="B5" s="8" t="inlineStr">
        <is>
          <t>Proporción de citas agendadas sin choques de horario entre especialistas</t>
        </is>
      </c>
      <c r="C5" s="8" t="inlineStr">
        <is>
          <t>Mayor al 98%</t>
        </is>
      </c>
    </row>
    <row r="6" ht="34" customHeight="1">
      <c r="A6" s="8" t="inlineStr">
        <is>
          <t>Tiempo de respuesta en consulta de expediente</t>
        </is>
      </c>
      <c r="B6" s="8" t="inlineStr">
        <is>
          <t>Tiempo que tarda el sistema en mostrar el expediente clínico de una paciente</t>
        </is>
      </c>
      <c r="C6" s="8" t="inlineStr">
        <is>
          <t>Menor a 3 segundos</t>
        </is>
      </c>
    </row>
    <row r="7" ht="34" customHeight="1">
      <c r="A7" s="8" t="inlineStr">
        <is>
          <t>Disponibilidad del sistema (uptime)</t>
        </is>
      </c>
      <c r="B7" s="8" t="inlineStr">
        <is>
          <t>Porcentaje de tiempo que el sistema se encuentra operativo durante el horario de atención</t>
        </is>
      </c>
      <c r="C7" s="8" t="inlineStr">
        <is>
          <t>Mayor al 99%</t>
        </is>
      </c>
    </row>
    <row r="8" ht="34" customHeight="1">
      <c r="A8" s="8" t="inlineStr">
        <is>
          <t>Adopción del sistema por el personal</t>
        </is>
      </c>
      <c r="B8" s="8" t="inlineStr">
        <is>
          <t>Porcentaje del personal capacitado que utiliza el sistema de forma regular</t>
        </is>
      </c>
      <c r="C8" s="8" t="inlineStr">
        <is>
          <t>Mayor al 90% en los primeros 3 meses</t>
        </is>
      </c>
    </row>
    <row r="9" ht="34" customHeight="1">
      <c r="A9" s="8" t="inlineStr">
        <is>
          <t>Tiempo de actualización de reportes en Tableau/Power BI</t>
        </is>
      </c>
      <c r="B9" s="8" t="inlineStr">
        <is>
          <t>Tiempo entre el registro de un dato y su reflejo en los dashboards</t>
        </is>
      </c>
      <c r="C9" s="8" t="inlineStr">
        <is>
          <t>Menor a 24 horas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2026-08-10T20:45:56Z</dcterms:created>
  <dcterms:modified xmlns:dcterms="http://purl.org/dc/terms/" xmlns:xsi="http://www.w3.org/2001/XMLSchema-instance" xsi:type="dcterms:W3CDTF">2026-08-10T20:45:56Z</dcterms:modified>
</cp:coreProperties>
</file>